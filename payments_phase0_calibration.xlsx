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Calibratio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<sst xmlns="http://schemas.openxmlformats.org/spreadsheetml/2006/main" count="124" uniqueCount="102">
  <si>
    <t xml:space="preserve">Payments Operations Automation — Phase 0 Calibration</t>
  </si>
  <si>
    <t xml:space="preserve">Turns the indicative roadmap into a data-driven sequence. Populate the blue inputs with real figures; scores, ranks and waves recompute.</t>
  </si>
  <si>
    <t xml:space="preserve">How it works</t>
  </si>
  <si>
    <t xml:space="preserve">Each initiative is scored on three axes — Volume, Risk, Feasibility — on the Calibration sheet.</t>
  </si>
  <si>
    <t xml:space="preserve">• Volume is derived from monthly volume × manual-touch % (the manual workload automation removes).</t>
  </si>
  <si>
    <t xml:space="preserve">• Risk averages four sub-factors: irrevocability, sanctions/AML, regulatory severity, fraud.</t>
  </si>
  <si>
    <t xml:space="preserve">• Feasibility averages four sub-factors: data/standards, connectivity, vendor/precedent, maturity (non-novelty).</t>
  </si>
  <si>
    <t xml:space="preserve">Composite = weighted blend of the three axis scores. Weights and wave thresholds live on the Inputs sheet.</t>
  </si>
  <si>
    <t xml:space="preserve">The model suggests a wave; the Planned wave column (from the roadmap) is shown beside it, with a flag where they differ.</t>
  </si>
  <si>
    <t xml:space="preserve">Colour legend</t>
  </si>
  <si>
    <t xml:space="preserve">• Blue text = input you change.   • Black text = formula.   • Green text = link to another sheet.</t>
  </si>
  <si>
    <t xml:space="preserve">Scoring scale (1–5)</t>
  </si>
  <si>
    <t xml:space="preserve">1 = very low   2 = low   3 = moderate   4 = high   5 = very high.  For feasibility sub-factors, higher = more buildable now.</t>
  </si>
  <si>
    <t xml:space="preserve">Note</t>
  </si>
  <si>
    <t xml:space="preserve">All figures are illustrative placeholders [calibrate]. Replace with real volumes, break rates, and risk assessments in Phase 0.</t>
  </si>
  <si>
    <t xml:space="preserve">Calibration Inputs</t>
  </si>
  <si>
    <t xml:space="preserve">Axis weights</t>
  </si>
  <si>
    <t xml:space="preserve">Value</t>
  </si>
  <si>
    <t xml:space="preserve">Volume weight</t>
  </si>
  <si>
    <t xml:space="preserve">Share of composite from volume/workload</t>
  </si>
  <si>
    <t xml:space="preserve">Risk weight</t>
  </si>
  <si>
    <t xml:space="preserve">Share from risk (the cost of getting it wrong)</t>
  </si>
  <si>
    <t xml:space="preserve">Feasibility weight</t>
  </si>
  <si>
    <t xml:space="preserve">Share from buildability now</t>
  </si>
  <si>
    <t xml:space="preserve">Total (must = 100%)</t>
  </si>
  <si>
    <t xml:space="preserve">Wave thresholds</t>
  </si>
  <si>
    <t xml:space="preserve">Wave 1 if composite ≥</t>
  </si>
  <si>
    <t xml:space="preserve">Top band — do first (after foundation)</t>
  </si>
  <si>
    <t xml:space="preserve">Wave 2 if composite ≥</t>
  </si>
  <si>
    <t xml:space="preserve">Mid band; below this → Wave 3</t>
  </si>
  <si>
    <t xml:space="preserve">Phase 0 Calibration — Volume × Risk × Feasibility</t>
  </si>
  <si>
    <t xml:space="preserve">ID</t>
  </si>
  <si>
    <t xml:space="preserve">Initiative</t>
  </si>
  <si>
    <t xml:space="preserve">Category</t>
  </si>
  <si>
    <t xml:space="preserve">Vol (000s/mo)</t>
  </si>
  <si>
    <t xml:space="preserve">Manual %</t>
  </si>
  <si>
    <t xml:space="preserve">Manual workload</t>
  </si>
  <si>
    <t xml:space="preserve">Volume score</t>
  </si>
  <si>
    <t xml:space="preserve">Irrevoc.</t>
  </si>
  <si>
    <t xml:space="preserve">Sanctions/AML</t>
  </si>
  <si>
    <t xml:space="preserve">Regulatory</t>
  </si>
  <si>
    <t xml:space="preserve">Fraud</t>
  </si>
  <si>
    <t xml:space="preserve">Risk score</t>
  </si>
  <si>
    <t xml:space="preserve">Data/std</t>
  </si>
  <si>
    <t xml:space="preserve">Connectivity</t>
  </si>
  <si>
    <t xml:space="preserve">Vendor/prec.</t>
  </si>
  <si>
    <t xml:space="preserve">Maturity</t>
  </si>
  <si>
    <t xml:space="preserve">Feasibility score</t>
  </si>
  <si>
    <t xml:space="preserve">Composite</t>
  </si>
  <si>
    <t xml:space="preserve">Rank</t>
  </si>
  <si>
    <t xml:space="preserve">Model wave</t>
  </si>
  <si>
    <t xml:space="preserve">Planned wave</t>
  </si>
  <si>
    <t xml:space="preserve">Check</t>
  </si>
  <si>
    <t xml:space="preserve">F1</t>
  </si>
  <si>
    <t xml:space="preserve">Golden reference &amp; sanctions data</t>
  </si>
  <si>
    <t xml:space="preserve">Foundation</t>
  </si>
  <si>
    <t xml:space="preserve">F2</t>
  </si>
  <si>
    <t xml:space="preserve">Shared screening service</t>
  </si>
  <si>
    <t xml:space="preserve">F3</t>
  </si>
  <si>
    <t xml:space="preserve">Payment hub / orchestration</t>
  </si>
  <si>
    <t xml:space="preserve">F4</t>
  </si>
  <si>
    <t xml:space="preserve">Exceptions &amp; investigations</t>
  </si>
  <si>
    <t xml:space="preserve">F5</t>
  </si>
  <si>
    <t xml:space="preserve">Reconciliation &amp; settlement ledger</t>
  </si>
  <si>
    <t xml:space="preserve">F6</t>
  </si>
  <si>
    <t xml:space="preserve">AML monitoring + SAR/FinCEN</t>
  </si>
  <si>
    <t xml:space="preserve">A1</t>
  </si>
  <si>
    <t xml:space="preserve">ACH origination/receipt STP</t>
  </si>
  <si>
    <t xml:space="preserve">ACH</t>
  </si>
  <si>
    <t xml:space="preserve">A2</t>
  </si>
  <si>
    <t xml:space="preserve">ACH returns / NOC</t>
  </si>
  <si>
    <t xml:space="preserve">FW1</t>
  </si>
  <si>
    <t xml:space="preserve">Fedwire STP &amp; repair</t>
  </si>
  <si>
    <t xml:space="preserve">Fedwire</t>
  </si>
  <si>
    <t xml:space="preserve">FW2</t>
  </si>
  <si>
    <t xml:space="preserve">Fedwire intraday liquidity</t>
  </si>
  <si>
    <t xml:space="preserve">RTP1</t>
  </si>
  <si>
    <t xml:space="preserve">RTP real-time STP &amp; screening</t>
  </si>
  <si>
    <t xml:space="preserve">RTP</t>
  </si>
  <si>
    <t xml:space="preserve">RTP2</t>
  </si>
  <si>
    <t xml:space="preserve">RTP prefunding &amp; liquidity</t>
  </si>
  <si>
    <t xml:space="preserve">SW1</t>
  </si>
  <si>
    <t xml:space="preserve">SWIFT cross-border STP &amp; repair</t>
  </si>
  <si>
    <t xml:space="preserve">SWIFT</t>
  </si>
  <si>
    <t xml:space="preserve">SW2</t>
  </si>
  <si>
    <t xml:space="preserve">SWIFT nostro recon &amp; gpi</t>
  </si>
  <si>
    <t xml:space="preserve">SC1</t>
  </si>
  <si>
    <t xml:space="preserve">Stablecoin on-chain &amp; custody</t>
  </si>
  <si>
    <t xml:space="preserve">Stablecoin</t>
  </si>
  <si>
    <t xml:space="preserve">SC2</t>
  </si>
  <si>
    <t xml:space="preserve">Stablecoin on/off-ramp &amp; recon</t>
  </si>
  <si>
    <t xml:space="preserve">Calibration Summary</t>
  </si>
  <si>
    <t xml:space="preserve">By wave</t>
  </si>
  <si>
    <t xml:space="preserve"># initiatives</t>
  </si>
  <si>
    <t xml:space="preserve">Avg composite</t>
  </si>
  <si>
    <t xml:space="preserve">Wave 0 — foundation</t>
  </si>
  <si>
    <t xml:space="preserve">Wave 1</t>
  </si>
  <si>
    <t xml:space="preserve">Wave 2</t>
  </si>
  <si>
    <t xml:space="preserve">Wave 3</t>
  </si>
  <si>
    <t xml:space="preserve">Total</t>
  </si>
  <si>
    <t xml:space="preserve">By rail</t>
  </si>
  <si>
    <t xml:space="preserve">Model vs plan — items to review: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</si>
</sst>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"/>
    <numFmt numFmtId="167" formatCode="#,##0"/>
    <numFmt numFmtId="168" formatCode="0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/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40"/>
  </cols>
  <sheetData>
    <row r="2" customFormat="false" ht="17.35" hidden="false" customHeight="false" outlineLevel="0" collapsed="false">
      <c r="B2" s="1" t="s">
        <v>15</v>
      </c>
    </row>
    <row r="4" customFormat="false" ht="15" hidden="false" customHeight="false" outlineLevel="0" collapsed="false">
      <c r="B4" s="5" t="s">
        <v>16</v>
      </c>
      <c r="C4" s="5" t="s">
        <v>17</v>
      </c>
      <c r="D4" s="5" t="s">
        <v>13</v>
      </c>
    </row>
    <row r="5" customFormat="false" ht="15" hidden="false" customHeight="false" outlineLevel="0" collapsed="false">
      <c r="B5" s="6" t="s">
        <v>18</v>
      </c>
      <c r="C5" s="7" t="n">
        <v>0.35</v>
      </c>
      <c r="D5" s="2" t="s">
        <v>19</v>
      </c>
    </row>
    <row r="6" customFormat="false" ht="15" hidden="false" customHeight="false" outlineLevel="0" collapsed="false">
      <c r="B6" s="6" t="s">
        <v>20</v>
      </c>
      <c r="C6" s="7" t="n">
        <v>0.35</v>
      </c>
      <c r="D6" s="2" t="s">
        <v>21</v>
      </c>
    </row>
    <row r="7" customFormat="false" ht="15" hidden="false" customHeight="false" outlineLevel="0" collapsed="false">
      <c r="B7" s="6" t="s">
        <v>22</v>
      </c>
      <c r="C7" s="7" t="n">
        <v>0.3</v>
      </c>
      <c r="D7" s="2" t="s">
        <v>23</v>
      </c>
    </row>
    <row r="8" customFormat="false" ht="15" hidden="false" customHeight="false" outlineLevel="0" collapsed="false">
      <c r="B8" s="8" t="s">
        <v>24</v>
      </c>
      <c r="C8" s="9" t="n">
        <f aca="false">SUM(C5:C7)</f>
        <v>1</v>
      </c>
    </row>
    <row r="10" customFormat="false" ht="15" hidden="false" customHeight="false" outlineLevel="0" collapsed="false">
      <c r="B10" s="5" t="s">
        <v>25</v>
      </c>
      <c r="C10" s="5" t="s">
        <v>17</v>
      </c>
      <c r="D10" s="5" t="s">
        <v>13</v>
      </c>
    </row>
    <row r="11" customFormat="false" ht="15" hidden="false" customHeight="false" outlineLevel="0" collapsed="false">
      <c r="B11" s="6" t="s">
        <v>26</v>
      </c>
      <c r="C11" s="10" t="n">
        <v>3.8</v>
      </c>
      <c r="D11" s="2" t="s">
        <v>27</v>
      </c>
    </row>
    <row r="12" customFormat="false" ht="15" hidden="false" customHeight="false" outlineLevel="0" collapsed="false">
      <c r="B12" s="6" t="s">
        <v>28</v>
      </c>
      <c r="C12" s="10" t="n">
        <v>3.2</v>
      </c>
      <c r="D12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5" min="14" style="0" width="11"/>
    <col collapsed="false" customWidth="true" hidden="false" outlineLevel="0" max="16" min="16" style="0" width="9"/>
    <col collapsed="false" customWidth="true" hidden="false" outlineLevel="0" max="18" min="17" style="0" width="11"/>
    <col collapsed="false" customWidth="true" hidden="false" outlineLevel="0" max="19" min="19" style="0" width="6"/>
    <col collapsed="false" customWidth="true" hidden="false" outlineLevel="0" max="20" min="20" style="0" width="9"/>
    <col collapsed="false" customWidth="true" hidden="false" outlineLevel="0" max="21" min="21" style="0" width="11"/>
    <col collapsed="false" customWidth="true" hidden="false" outlineLevel="0" max="22" min="22" style="0" width="8"/>
  </cols>
  <sheetData>
    <row r="1" customFormat="false" ht="17.35" hidden="false" customHeight="false" outlineLevel="0" collapsed="false">
      <c r="A1" s="1" t="s">
        <v>30</v>
      </c>
    </row>
    <row r="2" customFormat="false" ht="23.85" hidden="false" customHeight="false" outlineLevel="0" collapsed="false">
      <c r="A2" s="11" t="s">
        <v>31</v>
      </c>
      <c r="B2" s="11" t="s">
        <v>32</v>
      </c>
      <c r="C2" s="11" t="s">
        <v>33</v>
      </c>
      <c r="D2" s="11" t="s">
        <v>34</v>
      </c>
      <c r="E2" s="11" t="s">
        <v>35</v>
      </c>
      <c r="F2" s="11" t="s">
        <v>36</v>
      </c>
      <c r="G2" s="11" t="s">
        <v>37</v>
      </c>
      <c r="H2" s="11" t="s">
        <v>38</v>
      </c>
      <c r="I2" s="11" t="s">
        <v>39</v>
      </c>
      <c r="J2" s="11" t="s">
        <v>40</v>
      </c>
      <c r="K2" s="11" t="s">
        <v>41</v>
      </c>
      <c r="L2" s="11" t="s">
        <v>42</v>
      </c>
      <c r="M2" s="11" t="s">
        <v>43</v>
      </c>
      <c r="N2" s="11" t="s">
        <v>44</v>
      </c>
      <c r="O2" s="11" t="s">
        <v>45</v>
      </c>
      <c r="P2" s="11" t="s">
        <v>46</v>
      </c>
      <c r="Q2" s="11" t="s">
        <v>47</v>
      </c>
      <c r="R2" s="11" t="s">
        <v>48</v>
      </c>
      <c r="S2" s="11" t="s">
        <v>49</v>
      </c>
      <c r="T2" s="11" t="s">
        <v>50</v>
      </c>
      <c r="U2" s="11" t="s">
        <v>51</v>
      </c>
      <c r="V2" s="11" t="s">
        <v>52</v>
      </c>
    </row>
    <row r="3" customFormat="false" ht="15" hidden="false" customHeight="false" outlineLevel="0" collapsed="false">
      <c r="A3" s="12" t="s">
        <v>53</v>
      </c>
      <c r="B3" s="13" t="s">
        <v>54</v>
      </c>
      <c r="C3" s="13" t="s">
        <v>55</v>
      </c>
      <c r="D3" s="14" t="n">
        <v>12000</v>
      </c>
      <c r="E3" s="15" t="n">
        <v>0.5</v>
      </c>
      <c r="F3" s="16" t="n">
        <f aca="false">D3*E3</f>
        <v>6000</v>
      </c>
      <c r="G3" s="17" t="n">
        <f aca="false">MIN(5,1+4*F3/MAX($F$9:$F$18))</f>
        <v>5</v>
      </c>
      <c r="H3" s="18" t="n">
        <v>3</v>
      </c>
      <c r="I3" s="18" t="n">
        <v>4</v>
      </c>
      <c r="J3" s="18" t="n">
        <v>4</v>
      </c>
      <c r="K3" s="18" t="n">
        <v>3</v>
      </c>
      <c r="L3" s="17" t="n">
        <f aca="false">AVERAGE(H3:K3)</f>
        <v>3.5</v>
      </c>
      <c r="M3" s="18" t="n">
        <v>4</v>
      </c>
      <c r="N3" s="18" t="n">
        <v>4</v>
      </c>
      <c r="O3" s="18" t="n">
        <v>4</v>
      </c>
      <c r="P3" s="18" t="n">
        <v>4</v>
      </c>
      <c r="Q3" s="17" t="n">
        <f aca="false">AVERAGE(M3:P3)</f>
        <v>4</v>
      </c>
      <c r="R3" s="19" t="n">
        <f aca="false">Inputs!$C$5*G3+Inputs!$C$6*L3+Inputs!$C$7*Q3</f>
        <v>4.175</v>
      </c>
      <c r="S3" s="20" t="n">
        <f aca="false">RANK(R3,$R$3:$R$18)</f>
        <v>4</v>
      </c>
      <c r="T3" s="21" t="n">
        <f aca="false">IF(C3="Foundation",0,IF(R3&gt;=Inputs!$C$11,1,IF(R3&gt;=Inputs!$C$12,2,3)))</f>
        <v>0</v>
      </c>
      <c r="U3" s="22" t="n">
        <v>0</v>
      </c>
      <c r="V3" s="20" t="str">
        <f aca="false">IF(T3=U3,"OK","review")</f>
        <v>OK</v>
      </c>
    </row>
    <row r="4" customFormat="false" ht="15" hidden="false" customHeight="false" outlineLevel="0" collapsed="false">
      <c r="A4" s="12" t="s">
        <v>56</v>
      </c>
      <c r="B4" s="13" t="s">
        <v>57</v>
      </c>
      <c r="C4" s="13" t="s">
        <v>55</v>
      </c>
      <c r="D4" s="14" t="n">
        <v>12000</v>
      </c>
      <c r="E4" s="15" t="n">
        <v>0.5</v>
      </c>
      <c r="F4" s="16" t="n">
        <f aca="false">D4*E4</f>
        <v>6000</v>
      </c>
      <c r="G4" s="17" t="n">
        <f aca="false">MIN(5,1+4*F4/MAX($F$9:$F$18))</f>
        <v>5</v>
      </c>
      <c r="H4" s="18" t="n">
        <v>4</v>
      </c>
      <c r="I4" s="18" t="n">
        <v>5</v>
      </c>
      <c r="J4" s="18" t="n">
        <v>5</v>
      </c>
      <c r="K4" s="18" t="n">
        <v>4</v>
      </c>
      <c r="L4" s="17" t="n">
        <f aca="false">AVERAGE(H4:K4)</f>
        <v>4.5</v>
      </c>
      <c r="M4" s="18" t="n">
        <v>3</v>
      </c>
      <c r="N4" s="18" t="n">
        <v>3</v>
      </c>
      <c r="O4" s="18" t="n">
        <v>4</v>
      </c>
      <c r="P4" s="18" t="n">
        <v>3</v>
      </c>
      <c r="Q4" s="17" t="n">
        <f aca="false">AVERAGE(M4:P4)</f>
        <v>3.25</v>
      </c>
      <c r="R4" s="19" t="n">
        <f aca="false">Inputs!$C$5*G4+Inputs!$C$6*L4+Inputs!$C$7*Q4</f>
        <v>4.3</v>
      </c>
      <c r="S4" s="20" t="n">
        <f aca="false">RANK(R4,$R$3:$R$18)</f>
        <v>1</v>
      </c>
      <c r="T4" s="21" t="n">
        <f aca="false">IF(C4="Foundation",0,IF(R4&gt;=Inputs!$C$11,1,IF(R4&gt;=Inputs!$C$12,2,3)))</f>
        <v>0</v>
      </c>
      <c r="U4" s="22" t="n">
        <v>0</v>
      </c>
      <c r="V4" s="20" t="str">
        <f aca="false">IF(T4=U4,"OK","review")</f>
        <v>OK</v>
      </c>
    </row>
    <row r="5" customFormat="false" ht="15" hidden="false" customHeight="false" outlineLevel="0" collapsed="false">
      <c r="A5" s="12" t="s">
        <v>58</v>
      </c>
      <c r="B5" s="13" t="s">
        <v>59</v>
      </c>
      <c r="C5" s="13" t="s">
        <v>55</v>
      </c>
      <c r="D5" s="14" t="n">
        <v>12000</v>
      </c>
      <c r="E5" s="15" t="n">
        <v>0.45</v>
      </c>
      <c r="F5" s="16" t="n">
        <f aca="false">D5*E5</f>
        <v>5400</v>
      </c>
      <c r="G5" s="17" t="n">
        <f aca="false">MIN(5,1+4*F5/MAX($F$9:$F$18))</f>
        <v>5</v>
      </c>
      <c r="H5" s="18" t="n">
        <v>3</v>
      </c>
      <c r="I5" s="18" t="n">
        <v>3</v>
      </c>
      <c r="J5" s="18" t="n">
        <v>3</v>
      </c>
      <c r="K5" s="18" t="n">
        <v>3</v>
      </c>
      <c r="L5" s="17" t="n">
        <f aca="false">AVERAGE(H5:K5)</f>
        <v>3</v>
      </c>
      <c r="M5" s="18" t="n">
        <v>3</v>
      </c>
      <c r="N5" s="18" t="n">
        <v>3</v>
      </c>
      <c r="O5" s="18" t="n">
        <v>3</v>
      </c>
      <c r="P5" s="18" t="n">
        <v>3</v>
      </c>
      <c r="Q5" s="17" t="n">
        <f aca="false">AVERAGE(M5:P5)</f>
        <v>3</v>
      </c>
      <c r="R5" s="19" t="n">
        <f aca="false">Inputs!$C$5*G5+Inputs!$C$6*L5+Inputs!$C$7*Q5</f>
        <v>3.7</v>
      </c>
      <c r="S5" s="20" t="n">
        <f aca="false">RANK(R5,$R$3:$R$18)</f>
        <v>6</v>
      </c>
      <c r="T5" s="21" t="n">
        <f aca="false">IF(C5="Foundation",0,IF(R5&gt;=Inputs!$C$11,1,IF(R5&gt;=Inputs!$C$12,2,3)))</f>
        <v>0</v>
      </c>
      <c r="U5" s="22" t="n">
        <v>0</v>
      </c>
      <c r="V5" s="20" t="str">
        <f aca="false">IF(T5=U5,"OK","review")</f>
        <v>OK</v>
      </c>
    </row>
    <row r="6" customFormat="false" ht="15" hidden="false" customHeight="false" outlineLevel="0" collapsed="false">
      <c r="A6" s="12" t="s">
        <v>60</v>
      </c>
      <c r="B6" s="13" t="s">
        <v>61</v>
      </c>
      <c r="C6" s="13" t="s">
        <v>55</v>
      </c>
      <c r="D6" s="14" t="n">
        <v>12000</v>
      </c>
      <c r="E6" s="15" t="n">
        <v>0.45</v>
      </c>
      <c r="F6" s="16" t="n">
        <f aca="false">D6*E6</f>
        <v>5400</v>
      </c>
      <c r="G6" s="17" t="n">
        <f aca="false">MIN(5,1+4*F6/MAX($F$9:$F$18))</f>
        <v>5</v>
      </c>
      <c r="H6" s="18" t="n">
        <v>2</v>
      </c>
      <c r="I6" s="18" t="n">
        <v>3</v>
      </c>
      <c r="J6" s="18" t="n">
        <v>3</v>
      </c>
      <c r="K6" s="18" t="n">
        <v>3</v>
      </c>
      <c r="L6" s="17" t="n">
        <f aca="false">AVERAGE(H6:K6)</f>
        <v>2.75</v>
      </c>
      <c r="M6" s="18" t="n">
        <v>4</v>
      </c>
      <c r="N6" s="18" t="n">
        <v>4</v>
      </c>
      <c r="O6" s="18" t="n">
        <v>4</v>
      </c>
      <c r="P6" s="18" t="n">
        <v>4</v>
      </c>
      <c r="Q6" s="17" t="n">
        <f aca="false">AVERAGE(M6:P6)</f>
        <v>4</v>
      </c>
      <c r="R6" s="19" t="n">
        <f aca="false">Inputs!$C$5*G6+Inputs!$C$6*L6+Inputs!$C$7*Q6</f>
        <v>3.9125</v>
      </c>
      <c r="S6" s="20" t="n">
        <f aca="false">RANK(R6,$R$3:$R$18)</f>
        <v>5</v>
      </c>
      <c r="T6" s="21" t="n">
        <f aca="false">IF(C6="Foundation",0,IF(R6&gt;=Inputs!$C$11,1,IF(R6&gt;=Inputs!$C$12,2,3)))</f>
        <v>0</v>
      </c>
      <c r="U6" s="22" t="n">
        <v>0</v>
      </c>
      <c r="V6" s="20" t="str">
        <f aca="false">IF(T6=U6,"OK","review")</f>
        <v>OK</v>
      </c>
    </row>
    <row r="7" customFormat="false" ht="15" hidden="false" customHeight="false" outlineLevel="0" collapsed="false">
      <c r="A7" s="12" t="s">
        <v>62</v>
      </c>
      <c r="B7" s="13" t="s">
        <v>63</v>
      </c>
      <c r="C7" s="13" t="s">
        <v>55</v>
      </c>
      <c r="D7" s="14" t="n">
        <v>12000</v>
      </c>
      <c r="E7" s="15" t="n">
        <v>0.4</v>
      </c>
      <c r="F7" s="16" t="n">
        <f aca="false">D7*E7</f>
        <v>4800</v>
      </c>
      <c r="G7" s="17" t="n">
        <f aca="false">MIN(5,1+4*F7/MAX($F$9:$F$18))</f>
        <v>5</v>
      </c>
      <c r="H7" s="18" t="n">
        <v>3</v>
      </c>
      <c r="I7" s="18" t="n">
        <v>3</v>
      </c>
      <c r="J7" s="18" t="n">
        <v>3</v>
      </c>
      <c r="K7" s="18" t="n">
        <v>2</v>
      </c>
      <c r="L7" s="17" t="n">
        <f aca="false">AVERAGE(H7:K7)</f>
        <v>2.75</v>
      </c>
      <c r="M7" s="18" t="n">
        <v>3</v>
      </c>
      <c r="N7" s="18" t="n">
        <v>3</v>
      </c>
      <c r="O7" s="18" t="n">
        <v>3</v>
      </c>
      <c r="P7" s="18" t="n">
        <v>3</v>
      </c>
      <c r="Q7" s="17" t="n">
        <f aca="false">AVERAGE(M7:P7)</f>
        <v>3</v>
      </c>
      <c r="R7" s="19" t="n">
        <f aca="false">Inputs!$C$5*G7+Inputs!$C$6*L7+Inputs!$C$7*Q7</f>
        <v>3.6125</v>
      </c>
      <c r="S7" s="20" t="n">
        <f aca="false">RANK(R7,$R$3:$R$18)</f>
        <v>7</v>
      </c>
      <c r="T7" s="21" t="n">
        <f aca="false">IF(C7="Foundation",0,IF(R7&gt;=Inputs!$C$11,1,IF(R7&gt;=Inputs!$C$12,2,3)))</f>
        <v>0</v>
      </c>
      <c r="U7" s="22" t="n">
        <v>0</v>
      </c>
      <c r="V7" s="20" t="str">
        <f aca="false">IF(T7=U7,"OK","review")</f>
        <v>OK</v>
      </c>
    </row>
    <row r="8" customFormat="false" ht="15" hidden="false" customHeight="false" outlineLevel="0" collapsed="false">
      <c r="A8" s="12" t="s">
        <v>64</v>
      </c>
      <c r="B8" s="13" t="s">
        <v>65</v>
      </c>
      <c r="C8" s="13" t="s">
        <v>55</v>
      </c>
      <c r="D8" s="14" t="n">
        <v>12000</v>
      </c>
      <c r="E8" s="15" t="n">
        <v>0.5</v>
      </c>
      <c r="F8" s="16" t="n">
        <f aca="false">D8*E8</f>
        <v>6000</v>
      </c>
      <c r="G8" s="17" t="n">
        <f aca="false">MIN(5,1+4*F8/MAX($F$9:$F$18))</f>
        <v>5</v>
      </c>
      <c r="H8" s="18" t="n">
        <v>3</v>
      </c>
      <c r="I8" s="18" t="n">
        <v>5</v>
      </c>
      <c r="J8" s="18" t="n">
        <v>5</v>
      </c>
      <c r="K8" s="18" t="n">
        <v>4</v>
      </c>
      <c r="L8" s="17" t="n">
        <f aca="false">AVERAGE(H8:K8)</f>
        <v>4.25</v>
      </c>
      <c r="M8" s="18" t="n">
        <v>3</v>
      </c>
      <c r="N8" s="18" t="n">
        <v>3</v>
      </c>
      <c r="O8" s="18" t="n">
        <v>4</v>
      </c>
      <c r="P8" s="18" t="n">
        <v>3</v>
      </c>
      <c r="Q8" s="17" t="n">
        <f aca="false">AVERAGE(M8:P8)</f>
        <v>3.25</v>
      </c>
      <c r="R8" s="19" t="n">
        <f aca="false">Inputs!$C$5*G8+Inputs!$C$6*L8+Inputs!$C$7*Q8</f>
        <v>4.2125</v>
      </c>
      <c r="S8" s="20" t="n">
        <f aca="false">RANK(R8,$R$3:$R$18)</f>
        <v>3</v>
      </c>
      <c r="T8" s="21" t="n">
        <f aca="false">IF(C8="Foundation",0,IF(R8&gt;=Inputs!$C$11,1,IF(R8&gt;=Inputs!$C$12,2,3)))</f>
        <v>0</v>
      </c>
      <c r="U8" s="22" t="n">
        <v>0</v>
      </c>
      <c r="V8" s="20" t="str">
        <f aca="false">IF(T8=U8,"OK","review")</f>
        <v>OK</v>
      </c>
    </row>
    <row r="9" customFormat="false" ht="15" hidden="false" customHeight="false" outlineLevel="0" collapsed="false">
      <c r="A9" s="23" t="s">
        <v>66</v>
      </c>
      <c r="B9" s="24" t="s">
        <v>67</v>
      </c>
      <c r="C9" s="24" t="s">
        <v>68</v>
      </c>
      <c r="D9" s="14" t="n">
        <v>8000</v>
      </c>
      <c r="E9" s="15" t="n">
        <v>0.15</v>
      </c>
      <c r="F9" s="16" t="n">
        <f aca="false">D9*E9</f>
        <v>1200</v>
      </c>
      <c r="G9" s="17" t="n">
        <f aca="false">MIN(5,1+4*F9/MAX($F$9:$F$18))</f>
        <v>5</v>
      </c>
      <c r="H9" s="18" t="n">
        <v>2</v>
      </c>
      <c r="I9" s="18" t="n">
        <v>3</v>
      </c>
      <c r="J9" s="18" t="n">
        <v>3</v>
      </c>
      <c r="K9" s="18" t="n">
        <v>3</v>
      </c>
      <c r="L9" s="17" t="n">
        <f aca="false">AVERAGE(H9:K9)</f>
        <v>2.75</v>
      </c>
      <c r="M9" s="18" t="n">
        <v>5</v>
      </c>
      <c r="N9" s="18" t="n">
        <v>5</v>
      </c>
      <c r="O9" s="18" t="n">
        <v>5</v>
      </c>
      <c r="P9" s="18" t="n">
        <v>5</v>
      </c>
      <c r="Q9" s="17" t="n">
        <f aca="false">AVERAGE(M9:P9)</f>
        <v>5</v>
      </c>
      <c r="R9" s="19" t="n">
        <f aca="false">Inputs!$C$5*G9+Inputs!$C$6*L9+Inputs!$C$7*Q9</f>
        <v>4.2125</v>
      </c>
      <c r="S9" s="20" t="n">
        <f aca="false">RANK(R9,$R$3:$R$18)</f>
        <v>2</v>
      </c>
      <c r="T9" s="21" t="n">
        <f aca="false">IF(C9="Foundation",0,IF(R9&gt;=Inputs!$C$11,1,IF(R9&gt;=Inputs!$C$12,2,3)))</f>
        <v>1</v>
      </c>
      <c r="U9" s="22" t="n">
        <v>1</v>
      </c>
      <c r="V9" s="20" t="str">
        <f aca="false">IF(T9=U9,"OK","review")</f>
        <v>OK</v>
      </c>
    </row>
    <row r="10" customFormat="false" ht="15" hidden="false" customHeight="false" outlineLevel="0" collapsed="false">
      <c r="A10" s="23" t="s">
        <v>69</v>
      </c>
      <c r="B10" s="24" t="s">
        <v>70</v>
      </c>
      <c r="C10" s="24" t="s">
        <v>68</v>
      </c>
      <c r="D10" s="14" t="n">
        <v>400</v>
      </c>
      <c r="E10" s="15" t="n">
        <v>0.4</v>
      </c>
      <c r="F10" s="16" t="n">
        <f aca="false">D10*E10</f>
        <v>160</v>
      </c>
      <c r="G10" s="17" t="n">
        <f aca="false">MIN(5,1+4*F10/MAX($F$9:$F$18))</f>
        <v>1.53333333333333</v>
      </c>
      <c r="H10" s="18" t="n">
        <v>2</v>
      </c>
      <c r="I10" s="18" t="n">
        <v>2</v>
      </c>
      <c r="J10" s="18" t="n">
        <v>3</v>
      </c>
      <c r="K10" s="18" t="n">
        <v>3</v>
      </c>
      <c r="L10" s="17" t="n">
        <f aca="false">AVERAGE(H10:K10)</f>
        <v>2.5</v>
      </c>
      <c r="M10" s="18" t="n">
        <v>4</v>
      </c>
      <c r="N10" s="18" t="n">
        <v>4</v>
      </c>
      <c r="O10" s="18" t="n">
        <v>4</v>
      </c>
      <c r="P10" s="18" t="n">
        <v>4</v>
      </c>
      <c r="Q10" s="17" t="n">
        <f aca="false">AVERAGE(M10:P10)</f>
        <v>4</v>
      </c>
      <c r="R10" s="19" t="n">
        <f aca="false">Inputs!$C$5*G10+Inputs!$C$6*L10+Inputs!$C$7*Q10</f>
        <v>2.61166666666667</v>
      </c>
      <c r="S10" s="20" t="n">
        <f aca="false">RANK(R10,$R$3:$R$18)</f>
        <v>14</v>
      </c>
      <c r="T10" s="21" t="n">
        <f aca="false">IF(C10="Foundation",0,IF(R10&gt;=Inputs!$C$11,1,IF(R10&gt;=Inputs!$C$12,2,3)))</f>
        <v>3</v>
      </c>
      <c r="U10" s="22" t="n">
        <v>1</v>
      </c>
      <c r="V10" s="20" t="str">
        <f aca="false">IF(T10=U10,"OK","review")</f>
        <v>review</v>
      </c>
    </row>
    <row r="11" customFormat="false" ht="15" hidden="false" customHeight="false" outlineLevel="0" collapsed="false">
      <c r="A11" s="23" t="s">
        <v>71</v>
      </c>
      <c r="B11" s="24" t="s">
        <v>72</v>
      </c>
      <c r="C11" s="24" t="s">
        <v>73</v>
      </c>
      <c r="D11" s="14" t="n">
        <v>600</v>
      </c>
      <c r="E11" s="15" t="n">
        <v>0.35</v>
      </c>
      <c r="F11" s="16" t="n">
        <f aca="false">D11*E11</f>
        <v>210</v>
      </c>
      <c r="G11" s="17" t="n">
        <f aca="false">MIN(5,1+4*F11/MAX($F$9:$F$18))</f>
        <v>1.7</v>
      </c>
      <c r="H11" s="18" t="n">
        <v>5</v>
      </c>
      <c r="I11" s="18" t="n">
        <v>4</v>
      </c>
      <c r="J11" s="18" t="n">
        <v>4</v>
      </c>
      <c r="K11" s="18" t="n">
        <v>4</v>
      </c>
      <c r="L11" s="17" t="n">
        <f aca="false">AVERAGE(H11:K11)</f>
        <v>4.25</v>
      </c>
      <c r="M11" s="18" t="n">
        <v>4</v>
      </c>
      <c r="N11" s="18" t="n">
        <v>4</v>
      </c>
      <c r="O11" s="18" t="n">
        <v>4</v>
      </c>
      <c r="P11" s="18" t="n">
        <v>4</v>
      </c>
      <c r="Q11" s="17" t="n">
        <f aca="false">AVERAGE(M11:P11)</f>
        <v>4</v>
      </c>
      <c r="R11" s="19" t="n">
        <f aca="false">Inputs!$C$5*G11+Inputs!$C$6*L11+Inputs!$C$7*Q11</f>
        <v>3.2825</v>
      </c>
      <c r="S11" s="20" t="n">
        <f aca="false">RANK(R11,$R$3:$R$18)</f>
        <v>9</v>
      </c>
      <c r="T11" s="21" t="n">
        <f aca="false">IF(C11="Foundation",0,IF(R11&gt;=Inputs!$C$11,1,IF(R11&gt;=Inputs!$C$12,2,3)))</f>
        <v>2</v>
      </c>
      <c r="U11" s="22" t="n">
        <v>2</v>
      </c>
      <c r="V11" s="20" t="str">
        <f aca="false">IF(T11=U11,"OK","review")</f>
        <v>OK</v>
      </c>
    </row>
    <row r="12" customFormat="false" ht="15" hidden="false" customHeight="false" outlineLevel="0" collapsed="false">
      <c r="A12" s="23" t="s">
        <v>74</v>
      </c>
      <c r="B12" s="24" t="s">
        <v>75</v>
      </c>
      <c r="C12" s="24" t="s">
        <v>73</v>
      </c>
      <c r="D12" s="14" t="n">
        <v>600</v>
      </c>
      <c r="E12" s="15" t="n">
        <v>0.25</v>
      </c>
      <c r="F12" s="16" t="n">
        <f aca="false">D12*E12</f>
        <v>150</v>
      </c>
      <c r="G12" s="17" t="n">
        <f aca="false">MIN(5,1+4*F12/MAX($F$9:$F$18))</f>
        <v>1.5</v>
      </c>
      <c r="H12" s="18" t="n">
        <v>5</v>
      </c>
      <c r="I12" s="18" t="n">
        <v>3</v>
      </c>
      <c r="J12" s="18" t="n">
        <v>3</v>
      </c>
      <c r="K12" s="18" t="n">
        <v>3</v>
      </c>
      <c r="L12" s="17" t="n">
        <f aca="false">AVERAGE(H12:K12)</f>
        <v>3.5</v>
      </c>
      <c r="M12" s="18" t="n">
        <v>3</v>
      </c>
      <c r="N12" s="18" t="n">
        <v>3</v>
      </c>
      <c r="O12" s="18" t="n">
        <v>3</v>
      </c>
      <c r="P12" s="18" t="n">
        <v>4</v>
      </c>
      <c r="Q12" s="17" t="n">
        <f aca="false">AVERAGE(M12:P12)</f>
        <v>3.25</v>
      </c>
      <c r="R12" s="19" t="n">
        <f aca="false">Inputs!$C$5*G12+Inputs!$C$6*L12+Inputs!$C$7*Q12</f>
        <v>2.725</v>
      </c>
      <c r="S12" s="20" t="n">
        <f aca="false">RANK(R12,$R$3:$R$18)</f>
        <v>13</v>
      </c>
      <c r="T12" s="21" t="n">
        <f aca="false">IF(C12="Foundation",0,IF(R12&gt;=Inputs!$C$11,1,IF(R12&gt;=Inputs!$C$12,2,3)))</f>
        <v>3</v>
      </c>
      <c r="U12" s="22" t="n">
        <v>2</v>
      </c>
      <c r="V12" s="20" t="str">
        <f aca="false">IF(T12=U12,"OK","review")</f>
        <v>review</v>
      </c>
    </row>
    <row r="13" customFormat="false" ht="15" hidden="false" customHeight="false" outlineLevel="0" collapsed="false">
      <c r="A13" s="23" t="s">
        <v>76</v>
      </c>
      <c r="B13" s="24" t="s">
        <v>77</v>
      </c>
      <c r="C13" s="24" t="s">
        <v>78</v>
      </c>
      <c r="D13" s="14" t="n">
        <v>1200</v>
      </c>
      <c r="E13" s="15" t="n">
        <v>0.2</v>
      </c>
      <c r="F13" s="16" t="n">
        <f aca="false">D13*E13</f>
        <v>240</v>
      </c>
      <c r="G13" s="17" t="n">
        <f aca="false">MIN(5,1+4*F13/MAX($F$9:$F$18))</f>
        <v>1.8</v>
      </c>
      <c r="H13" s="18" t="n">
        <v>5</v>
      </c>
      <c r="I13" s="18" t="n">
        <v>5</v>
      </c>
      <c r="J13" s="18" t="n">
        <v>4</v>
      </c>
      <c r="K13" s="18" t="n">
        <v>5</v>
      </c>
      <c r="L13" s="17" t="n">
        <f aca="false">AVERAGE(H13:K13)</f>
        <v>4.75</v>
      </c>
      <c r="M13" s="18" t="n">
        <v>3</v>
      </c>
      <c r="N13" s="18" t="n">
        <v>3</v>
      </c>
      <c r="O13" s="18" t="n">
        <v>3</v>
      </c>
      <c r="P13" s="18" t="n">
        <v>3</v>
      </c>
      <c r="Q13" s="17" t="n">
        <f aca="false">AVERAGE(M13:P13)</f>
        <v>3</v>
      </c>
      <c r="R13" s="19" t="n">
        <f aca="false">Inputs!$C$5*G13+Inputs!$C$6*L13+Inputs!$C$7*Q13</f>
        <v>3.1925</v>
      </c>
      <c r="S13" s="20" t="n">
        <f aca="false">RANK(R13,$R$3:$R$18)</f>
        <v>10</v>
      </c>
      <c r="T13" s="21" t="n">
        <f aca="false">IF(C13="Foundation",0,IF(R13&gt;=Inputs!$C$11,1,IF(R13&gt;=Inputs!$C$12,2,3)))</f>
        <v>3</v>
      </c>
      <c r="U13" s="22" t="n">
        <v>2</v>
      </c>
      <c r="V13" s="20" t="str">
        <f aca="false">IF(T13=U13,"OK","review")</f>
        <v>review</v>
      </c>
    </row>
    <row r="14" customFormat="false" ht="15" hidden="false" customHeight="false" outlineLevel="0" collapsed="false">
      <c r="A14" s="23" t="s">
        <v>79</v>
      </c>
      <c r="B14" s="24" t="s">
        <v>80</v>
      </c>
      <c r="C14" s="24" t="s">
        <v>78</v>
      </c>
      <c r="D14" s="14" t="n">
        <v>1200</v>
      </c>
      <c r="E14" s="15" t="n">
        <v>0.3</v>
      </c>
      <c r="F14" s="16" t="n">
        <f aca="false">D14*E14</f>
        <v>360</v>
      </c>
      <c r="G14" s="17" t="n">
        <f aca="false">MIN(5,1+4*F14/MAX($F$9:$F$18))</f>
        <v>2.2</v>
      </c>
      <c r="H14" s="18" t="n">
        <v>5</v>
      </c>
      <c r="I14" s="18" t="n">
        <v>3</v>
      </c>
      <c r="J14" s="18" t="n">
        <v>3</v>
      </c>
      <c r="K14" s="18" t="n">
        <v>3</v>
      </c>
      <c r="L14" s="17" t="n">
        <f aca="false">AVERAGE(H14:K14)</f>
        <v>3.5</v>
      </c>
      <c r="M14" s="18" t="n">
        <v>3</v>
      </c>
      <c r="N14" s="18" t="n">
        <v>3</v>
      </c>
      <c r="O14" s="18" t="n">
        <v>3</v>
      </c>
      <c r="P14" s="18" t="n">
        <v>3</v>
      </c>
      <c r="Q14" s="17" t="n">
        <f aca="false">AVERAGE(M14:P14)</f>
        <v>3</v>
      </c>
      <c r="R14" s="19" t="n">
        <f aca="false">Inputs!$C$5*G14+Inputs!$C$6*L14+Inputs!$C$7*Q14</f>
        <v>2.895</v>
      </c>
      <c r="S14" s="20" t="n">
        <f aca="false">RANK(R14,$R$3:$R$18)</f>
        <v>12</v>
      </c>
      <c r="T14" s="21" t="n">
        <f aca="false">IF(C14="Foundation",0,IF(R14&gt;=Inputs!$C$11,1,IF(R14&gt;=Inputs!$C$12,2,3)))</f>
        <v>3</v>
      </c>
      <c r="U14" s="22" t="n">
        <v>2</v>
      </c>
      <c r="V14" s="20" t="str">
        <f aca="false">IF(T14=U14,"OK","review")</f>
        <v>review</v>
      </c>
    </row>
    <row r="15" customFormat="false" ht="15" hidden="false" customHeight="false" outlineLevel="0" collapsed="false">
      <c r="A15" s="23" t="s">
        <v>81</v>
      </c>
      <c r="B15" s="24" t="s">
        <v>82</v>
      </c>
      <c r="C15" s="24" t="s">
        <v>83</v>
      </c>
      <c r="D15" s="14" t="n">
        <v>900</v>
      </c>
      <c r="E15" s="15" t="n">
        <v>0.55</v>
      </c>
      <c r="F15" s="16" t="n">
        <f aca="false">D15*E15</f>
        <v>495</v>
      </c>
      <c r="G15" s="17" t="n">
        <f aca="false">MIN(5,1+4*F15/MAX($F$9:$F$18))</f>
        <v>2.65</v>
      </c>
      <c r="H15" s="18" t="n">
        <v>4</v>
      </c>
      <c r="I15" s="18" t="n">
        <v>5</v>
      </c>
      <c r="J15" s="18" t="n">
        <v>4</v>
      </c>
      <c r="K15" s="18" t="n">
        <v>4</v>
      </c>
      <c r="L15" s="17" t="n">
        <f aca="false">AVERAGE(H15:K15)</f>
        <v>4.25</v>
      </c>
      <c r="M15" s="18" t="n">
        <v>3</v>
      </c>
      <c r="N15" s="18" t="n">
        <v>3</v>
      </c>
      <c r="O15" s="18" t="n">
        <v>3</v>
      </c>
      <c r="P15" s="18" t="n">
        <v>3</v>
      </c>
      <c r="Q15" s="17" t="n">
        <f aca="false">AVERAGE(M15:P15)</f>
        <v>3</v>
      </c>
      <c r="R15" s="19" t="n">
        <f aca="false">Inputs!$C$5*G15+Inputs!$C$6*L15+Inputs!$C$7*Q15</f>
        <v>3.315</v>
      </c>
      <c r="S15" s="20" t="n">
        <f aca="false">RANK(R15,$R$3:$R$18)</f>
        <v>8</v>
      </c>
      <c r="T15" s="21" t="n">
        <f aca="false">IF(C15="Foundation",0,IF(R15&gt;=Inputs!$C$11,1,IF(R15&gt;=Inputs!$C$12,2,3)))</f>
        <v>2</v>
      </c>
      <c r="U15" s="22" t="n">
        <v>3</v>
      </c>
      <c r="V15" s="20" t="str">
        <f aca="false">IF(T15=U15,"OK","review")</f>
        <v>review</v>
      </c>
    </row>
    <row r="16" customFormat="false" ht="15" hidden="false" customHeight="false" outlineLevel="0" collapsed="false">
      <c r="A16" s="23" t="s">
        <v>84</v>
      </c>
      <c r="B16" s="24" t="s">
        <v>85</v>
      </c>
      <c r="C16" s="24" t="s">
        <v>83</v>
      </c>
      <c r="D16" s="14" t="n">
        <v>900</v>
      </c>
      <c r="E16" s="15" t="n">
        <v>0.45</v>
      </c>
      <c r="F16" s="16" t="n">
        <f aca="false">D16*E16</f>
        <v>405</v>
      </c>
      <c r="G16" s="17" t="n">
        <f aca="false">MIN(5,1+4*F16/MAX($F$9:$F$18))</f>
        <v>2.35</v>
      </c>
      <c r="H16" s="18" t="n">
        <v>4</v>
      </c>
      <c r="I16" s="18" t="n">
        <v>4</v>
      </c>
      <c r="J16" s="18" t="n">
        <v>3</v>
      </c>
      <c r="K16" s="18" t="n">
        <v>3</v>
      </c>
      <c r="L16" s="17" t="n">
        <f aca="false">AVERAGE(H16:K16)</f>
        <v>3.5</v>
      </c>
      <c r="M16" s="18" t="n">
        <v>3</v>
      </c>
      <c r="N16" s="18" t="n">
        <v>3</v>
      </c>
      <c r="O16" s="18" t="n">
        <v>3</v>
      </c>
      <c r="P16" s="18" t="n">
        <v>3</v>
      </c>
      <c r="Q16" s="17" t="n">
        <f aca="false">AVERAGE(M16:P16)</f>
        <v>3</v>
      </c>
      <c r="R16" s="19" t="n">
        <f aca="false">Inputs!$C$5*G16+Inputs!$C$6*L16+Inputs!$C$7*Q16</f>
        <v>2.9475</v>
      </c>
      <c r="S16" s="20" t="n">
        <f aca="false">RANK(R16,$R$3:$R$18)</f>
        <v>11</v>
      </c>
      <c r="T16" s="21" t="n">
        <f aca="false">IF(C16="Foundation",0,IF(R16&gt;=Inputs!$C$11,1,IF(R16&gt;=Inputs!$C$12,2,3)))</f>
        <v>3</v>
      </c>
      <c r="U16" s="22" t="n">
        <v>3</v>
      </c>
      <c r="V16" s="20" t="str">
        <f aca="false">IF(T16=U16,"OK","review")</f>
        <v>OK</v>
      </c>
    </row>
    <row r="17" customFormat="false" ht="15" hidden="false" customHeight="false" outlineLevel="0" collapsed="false">
      <c r="A17" s="23" t="s">
        <v>86</v>
      </c>
      <c r="B17" s="24" t="s">
        <v>87</v>
      </c>
      <c r="C17" s="24" t="s">
        <v>88</v>
      </c>
      <c r="D17" s="14" t="n">
        <v>80</v>
      </c>
      <c r="E17" s="15" t="n">
        <v>0.6</v>
      </c>
      <c r="F17" s="16" t="n">
        <f aca="false">D17*E17</f>
        <v>48</v>
      </c>
      <c r="G17" s="17" t="n">
        <f aca="false">MIN(5,1+4*F17/MAX($F$9:$F$18))</f>
        <v>1.16</v>
      </c>
      <c r="H17" s="18" t="n">
        <v>5</v>
      </c>
      <c r="I17" s="18" t="n">
        <v>5</v>
      </c>
      <c r="J17" s="18" t="n">
        <v>5</v>
      </c>
      <c r="K17" s="18" t="n">
        <v>4</v>
      </c>
      <c r="L17" s="17" t="n">
        <f aca="false">AVERAGE(H17:K17)</f>
        <v>4.75</v>
      </c>
      <c r="M17" s="18" t="n">
        <v>2</v>
      </c>
      <c r="N17" s="18" t="n">
        <v>2</v>
      </c>
      <c r="O17" s="18" t="n">
        <v>2</v>
      </c>
      <c r="P17" s="18" t="n">
        <v>1</v>
      </c>
      <c r="Q17" s="17" t="n">
        <f aca="false">AVERAGE(M17:P17)</f>
        <v>1.75</v>
      </c>
      <c r="R17" s="19" t="n">
        <f aca="false">Inputs!$C$5*G17+Inputs!$C$6*L17+Inputs!$C$7*Q17</f>
        <v>2.5935</v>
      </c>
      <c r="S17" s="20" t="n">
        <f aca="false">RANK(R17,$R$3:$R$18)</f>
        <v>15</v>
      </c>
      <c r="T17" s="21" t="n">
        <f aca="false">IF(C17="Foundation",0,IF(R17&gt;=Inputs!$C$11,1,IF(R17&gt;=Inputs!$C$12,2,3)))</f>
        <v>3</v>
      </c>
      <c r="U17" s="22" t="n">
        <v>3</v>
      </c>
      <c r="V17" s="20" t="str">
        <f aca="false">IF(T17=U17,"OK","review")</f>
        <v>OK</v>
      </c>
    </row>
    <row r="18" customFormat="false" ht="15" hidden="false" customHeight="false" outlineLevel="0" collapsed="false">
      <c r="A18" s="23" t="s">
        <v>89</v>
      </c>
      <c r="B18" s="24" t="s">
        <v>90</v>
      </c>
      <c r="C18" s="24" t="s">
        <v>88</v>
      </c>
      <c r="D18" s="14" t="n">
        <v>80</v>
      </c>
      <c r="E18" s="15" t="n">
        <v>0.6</v>
      </c>
      <c r="F18" s="16" t="n">
        <f aca="false">D18*E18</f>
        <v>48</v>
      </c>
      <c r="G18" s="17" t="n">
        <f aca="false">MIN(5,1+4*F18/MAX($F$9:$F$18))</f>
        <v>1.16</v>
      </c>
      <c r="H18" s="18" t="n">
        <v>5</v>
      </c>
      <c r="I18" s="18" t="n">
        <v>5</v>
      </c>
      <c r="J18" s="18" t="n">
        <v>5</v>
      </c>
      <c r="K18" s="18" t="n">
        <v>4</v>
      </c>
      <c r="L18" s="17" t="n">
        <f aca="false">AVERAGE(H18:K18)</f>
        <v>4.75</v>
      </c>
      <c r="M18" s="18" t="n">
        <v>2</v>
      </c>
      <c r="N18" s="18" t="n">
        <v>2</v>
      </c>
      <c r="O18" s="18" t="n">
        <v>2</v>
      </c>
      <c r="P18" s="18" t="n">
        <v>1</v>
      </c>
      <c r="Q18" s="17" t="n">
        <f aca="false">AVERAGE(M18:P18)</f>
        <v>1.75</v>
      </c>
      <c r="R18" s="19" t="n">
        <f aca="false">Inputs!$C$5*G18+Inputs!$C$6*L18+Inputs!$C$7*Q18</f>
        <v>2.5935</v>
      </c>
      <c r="S18" s="20" t="n">
        <f aca="false">RANK(R18,$R$3:$R$18)</f>
        <v>15</v>
      </c>
      <c r="T18" s="21" t="n">
        <f aca="false">IF(C18="Foundation",0,IF(R18&gt;=Inputs!$C$11,1,IF(R18&gt;=Inputs!$C$12,2,3)))</f>
        <v>3</v>
      </c>
      <c r="U18" s="22" t="n">
        <v>3</v>
      </c>
      <c r="V18" s="20" t="str">
        <f aca="false">IF(T18=U18,"OK","review")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8"/>
  </cols>
  <sheetData>
    <row r="2" customFormat="false" ht="17.35" hidden="false" customHeight="false" outlineLevel="0" collapsed="false">
      <c r="B2" s="1" t="s">
        <v>91</v>
      </c>
    </row>
    <row r="4" customFormat="false" ht="15" hidden="false" customHeight="false" outlineLevel="0" collapsed="false">
      <c r="B4" s="25" t="s">
        <v>92</v>
      </c>
      <c r="C4" s="25" t="s">
        <v>93</v>
      </c>
      <c r="D4" s="25" t="s">
        <v>94</v>
      </c>
      <c r="E4" s="25" t="s">
        <v>36</v>
      </c>
    </row>
    <row r="5" customFormat="false" ht="15" hidden="false" customHeight="false" outlineLevel="0" collapsed="false">
      <c r="B5" s="24" t="s">
        <v>95</v>
      </c>
      <c r="C5" s="21" t="n">
        <f aca="false">COUNTIF(Calibration!$T$3:$T$18,0)</f>
        <v>6</v>
      </c>
      <c r="D5" s="26" t="n">
        <f aca="false">IFERROR(AVERAGEIF(Calibration!$T$3:$T$18,0,Calibration!$R$3:$R$18),0)</f>
        <v>3.98541666666667</v>
      </c>
      <c r="E5" s="27" t="n">
        <f aca="false">SUMIF(Calibration!$T$3:$T$18,0,Calibration!$F$3:$F$18)</f>
        <v>33600</v>
      </c>
    </row>
    <row r="6" customFormat="false" ht="15" hidden="false" customHeight="false" outlineLevel="0" collapsed="false">
      <c r="B6" s="24" t="s">
        <v>96</v>
      </c>
      <c r="C6" s="21" t="n">
        <f aca="false">COUNTIF(Calibration!$T$3:$T$18,1)</f>
        <v>1</v>
      </c>
      <c r="D6" s="26" t="n">
        <f aca="false">IFERROR(AVERAGEIF(Calibration!$T$3:$T$18,1,Calibration!$R$3:$R$18),0)</f>
        <v>4.2125</v>
      </c>
      <c r="E6" s="27" t="n">
        <f aca="false">SUMIF(Calibration!$T$3:$T$18,1,Calibration!$F$3:$F$18)</f>
        <v>1200</v>
      </c>
    </row>
    <row r="7" customFormat="false" ht="15" hidden="false" customHeight="false" outlineLevel="0" collapsed="false">
      <c r="B7" s="24" t="s">
        <v>97</v>
      </c>
      <c r="C7" s="21" t="n">
        <f aca="false">COUNTIF(Calibration!$T$3:$T$18,2)</f>
        <v>2</v>
      </c>
      <c r="D7" s="26" t="n">
        <f aca="false">IFERROR(AVERAGEIF(Calibration!$T$3:$T$18,2,Calibration!$R$3:$R$18),0)</f>
        <v>3.29875</v>
      </c>
      <c r="E7" s="27" t="n">
        <f aca="false">SUMIF(Calibration!$T$3:$T$18,2,Calibration!$F$3:$F$18)</f>
        <v>705</v>
      </c>
    </row>
    <row r="8" customFormat="false" ht="15" hidden="false" customHeight="false" outlineLevel="0" collapsed="false">
      <c r="B8" s="24" t="s">
        <v>98</v>
      </c>
      <c r="C8" s="21" t="n">
        <f aca="false">COUNTIF(Calibration!$T$3:$T$18,3)</f>
        <v>7</v>
      </c>
      <c r="D8" s="26" t="n">
        <f aca="false">IFERROR(AVERAGEIF(Calibration!$T$3:$T$18,3,Calibration!$R$3:$R$18),0)</f>
        <v>2.79409523809524</v>
      </c>
      <c r="E8" s="27" t="n">
        <f aca="false">SUMIF(Calibration!$T$3:$T$18,3,Calibration!$F$3:$F$18)</f>
        <v>1411</v>
      </c>
    </row>
    <row r="9" customFormat="false" ht="15" hidden="false" customHeight="false" outlineLevel="0" collapsed="false">
      <c r="B9" s="23" t="s">
        <v>99</v>
      </c>
      <c r="C9" s="20" t="n">
        <f aca="false">SUM(C5:C8)</f>
        <v>16</v>
      </c>
      <c r="D9" s="28"/>
      <c r="E9" s="28"/>
    </row>
    <row r="11" customFormat="false" ht="15" hidden="false" customHeight="false" outlineLevel="0" collapsed="false">
      <c r="B11" s="25" t="s">
        <v>100</v>
      </c>
      <c r="C11" s="25" t="s">
        <v>93</v>
      </c>
      <c r="D11" s="25" t="s">
        <v>94</v>
      </c>
      <c r="E11" s="25"/>
    </row>
    <row r="12" customFormat="false" ht="15" hidden="false" customHeight="false" outlineLevel="0" collapsed="false">
      <c r="B12" s="24" t="s">
        <v>55</v>
      </c>
      <c r="C12" s="21" t="n">
        <f aca="false">COUNTIF(Calibration!$C$3:$C$18,"Foundation")</f>
        <v>6</v>
      </c>
      <c r="D12" s="26" t="n">
        <f aca="false">IFERROR(AVERAGEIF(Calibration!$C$3:$C$18,"Foundation",Calibration!$R$3:$R$18),0)</f>
        <v>3.98541666666667</v>
      </c>
      <c r="E12" s="28"/>
    </row>
    <row r="13" customFormat="false" ht="15" hidden="false" customHeight="false" outlineLevel="0" collapsed="false">
      <c r="B13" s="24" t="s">
        <v>68</v>
      </c>
      <c r="C13" s="21" t="n">
        <f aca="false">COUNTIF(Calibration!$C$3:$C$18,"ACH")</f>
        <v>2</v>
      </c>
      <c r="D13" s="26" t="n">
        <f aca="false">IFERROR(AVERAGEIF(Calibration!$C$3:$C$18,"ACH",Calibration!$R$3:$R$18),0)</f>
        <v>3.41208333333333</v>
      </c>
      <c r="E13" s="28"/>
    </row>
    <row r="14" customFormat="false" ht="15" hidden="false" customHeight="false" outlineLevel="0" collapsed="false">
      <c r="B14" s="24" t="s">
        <v>73</v>
      </c>
      <c r="C14" s="21" t="n">
        <f aca="false">COUNTIF(Calibration!$C$3:$C$18,"Fedwire")</f>
        <v>2</v>
      </c>
      <c r="D14" s="26" t="n">
        <f aca="false">IFERROR(AVERAGEIF(Calibration!$C$3:$C$18,"Fedwire",Calibration!$R$3:$R$18),0)</f>
        <v>3.00375</v>
      </c>
      <c r="E14" s="28"/>
    </row>
    <row r="15" customFormat="false" ht="15" hidden="false" customHeight="false" outlineLevel="0" collapsed="false">
      <c r="B15" s="24" t="s">
        <v>78</v>
      </c>
      <c r="C15" s="21" t="n">
        <f aca="false">COUNTIF(Calibration!$C$3:$C$18,"RTP")</f>
        <v>2</v>
      </c>
      <c r="D15" s="26" t="n">
        <f aca="false">IFERROR(AVERAGEIF(Calibration!$C$3:$C$18,"RTP",Calibration!$R$3:$R$18),0)</f>
        <v>3.04375</v>
      </c>
      <c r="E15" s="28"/>
    </row>
    <row r="16" customFormat="false" ht="15" hidden="false" customHeight="false" outlineLevel="0" collapsed="false">
      <c r="B16" s="24" t="s">
        <v>83</v>
      </c>
      <c r="C16" s="21" t="n">
        <f aca="false">COUNTIF(Calibration!$C$3:$C$18,"SWIFT")</f>
        <v>2</v>
      </c>
      <c r="D16" s="26" t="n">
        <f aca="false">IFERROR(AVERAGEIF(Calibration!$C$3:$C$18,"SWIFT",Calibration!$R$3:$R$18),0)</f>
        <v>3.13125</v>
      </c>
      <c r="E16" s="28"/>
    </row>
    <row r="17" customFormat="false" ht="15" hidden="false" customHeight="false" outlineLevel="0" collapsed="false">
      <c r="B17" s="24" t="s">
        <v>88</v>
      </c>
      <c r="C17" s="21" t="n">
        <f aca="false">COUNTIF(Calibration!$C$3:$C$18,"Stablecoin")</f>
        <v>2</v>
      </c>
      <c r="D17" s="26" t="n">
        <f aca="false">IFERROR(AVERAGEIF(Calibration!$C$3:$C$18,"Stablecoin",Calibration!$R$3:$R$18),0)</f>
        <v>2.5935</v>
      </c>
      <c r="E17" s="28"/>
    </row>
    <row r="19" customFormat="false" ht="15" hidden="false" customHeight="false" outlineLevel="0" collapsed="false">
      <c r="B19" s="8" t="s">
        <v>101</v>
      </c>
      <c r="D19" s="29" t="n">
        <f aca="false">COUNTIF(Calibration!$V$3:$V$18,"review")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2026-06-22T01:15:11Z</dcterms:created>
  <dc:creator>openpyxl</dc:creator>
  <dc:description/>
  <dc:language>en-US</dc:language>
  <cp:lastModifiedBy/>
  <dcterms:modified xsi:type="dcterms:W3CDTF">2026-06-22T01:15:11Z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